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15270" windowHeight="4635" activeTab="7"/>
  </bookViews>
  <sheets>
    <sheet name="UDF1" sheetId="13" r:id="rId1"/>
    <sheet name="UDF2" sheetId="15" r:id="rId2"/>
    <sheet name="UDF3" sheetId="16" r:id="rId3"/>
    <sheet name="UDF4" sheetId="17" r:id="rId4"/>
    <sheet name="UDF5" sheetId="18" r:id="rId5"/>
    <sheet name="UDF6" sheetId="19" r:id="rId6"/>
    <sheet name="UDF7" sheetId="14" r:id="rId7"/>
    <sheet name="UDF8" sheetId="20" r:id="rId8"/>
  </sheets>
  <functionGroups builtInGroupCount="18"/>
  <definedNames>
    <definedName name="Dan">INDIRECT("F3:F"&amp;MATCH("",#REF!,0)-1)</definedName>
    <definedName name="Matrix">#REF!</definedName>
  </definedNames>
  <calcPr calcId="152511"/>
</workbook>
</file>

<file path=xl/calcChain.xml><?xml version="1.0" encoding="utf-8"?>
<calcChain xmlns="http://schemas.openxmlformats.org/spreadsheetml/2006/main">
  <c r="D7" i="20" l="1"/>
  <c r="D6" i="20"/>
  <c r="C7" i="20"/>
  <c r="C6" i="20" a="1"/>
  <c r="C6" i="20" l="1"/>
  <c r="C6" i="14" a="1"/>
  <c r="C8" i="14" a="1"/>
  <c r="C11" i="14" a="1"/>
  <c r="D7" i="19"/>
  <c r="E8" i="18"/>
  <c r="E12" i="18"/>
  <c r="E9" i="18"/>
  <c r="E13" i="18"/>
  <c r="E10" i="18"/>
  <c r="E14" i="18"/>
  <c r="E11" i="18"/>
  <c r="E15" i="18"/>
  <c r="E7" i="18"/>
  <c r="G6" i="17"/>
  <c r="D6" i="16"/>
  <c r="G6" i="15"/>
  <c r="E6" i="13"/>
  <c r="C6" i="14" l="1"/>
  <c r="C8" i="14"/>
  <c r="C11" i="14"/>
</calcChain>
</file>

<file path=xl/sharedStrings.xml><?xml version="1.0" encoding="utf-8"?>
<sst xmlns="http://schemas.openxmlformats.org/spreadsheetml/2006/main" count="81" uniqueCount="54">
  <si>
    <t>John</t>
  </si>
  <si>
    <t>Alex</t>
  </si>
  <si>
    <t>Daren</t>
  </si>
  <si>
    <t>Matt</t>
  </si>
  <si>
    <t>Nick</t>
  </si>
  <si>
    <t>Joe</t>
  </si>
  <si>
    <t>Names</t>
  </si>
  <si>
    <t>John, Alex, James, John, Joey</t>
  </si>
  <si>
    <t>test;test;test;test;test</t>
  </si>
  <si>
    <t>Dan|.|Jared|.|Hello|.|Dan</t>
  </si>
  <si>
    <r>
      <t xml:space="preserve">= </t>
    </r>
    <r>
      <rPr>
        <b/>
        <sz val="11"/>
        <color theme="1"/>
        <rFont val="Calibri"/>
        <family val="2"/>
        <scheme val="minor"/>
      </rPr>
      <t>SplitUp</t>
    </r>
    <r>
      <rPr>
        <sz val="11"/>
        <color theme="1"/>
        <rFont val="Calibri"/>
        <family val="2"/>
        <scheme val="minor"/>
      </rPr>
      <t>( MyString , MySep )</t>
    </r>
  </si>
  <si>
    <t>California, New York, New Mexico, Alabama, Colorado</t>
  </si>
  <si>
    <t>User Defined Function #7 [advanced]</t>
  </si>
  <si>
    <t>This is a sentence and that is a fact</t>
  </si>
  <si>
    <t>1,2.3,4.5,6.5,2,2,3,4,2,5,6</t>
  </si>
  <si>
    <t>x</t>
  </si>
  <si>
    <t>User Defined Function #1</t>
  </si>
  <si>
    <t>Please Concat This range</t>
  </si>
  <si>
    <t>User Defined Function #2</t>
  </si>
  <si>
    <t>= ConcatRange( rnge , sep )</t>
  </si>
  <si>
    <t xml:space="preserve">Find Character | Position|  of Second | </t>
  </si>
  <si>
    <t>= SearchInstance(  Cell , SearchString , Inst  )</t>
  </si>
  <si>
    <t>User Defined Function #3</t>
  </si>
  <si>
    <t>= InRange ( cell , myRange , strict )</t>
  </si>
  <si>
    <t>Test</t>
  </si>
  <si>
    <t>If</t>
  </si>
  <si>
    <t>Is</t>
  </si>
  <si>
    <t>in</t>
  </si>
  <si>
    <t>Number</t>
  </si>
  <si>
    <t>This range</t>
  </si>
  <si>
    <t>User Defined Function #4</t>
  </si>
  <si>
    <t>= CountString ( FullString , PartialString )</t>
  </si>
  <si>
    <t>How many words are in this sentence</t>
  </si>
  <si>
    <t>User Defined Function #5</t>
  </si>
  <si>
    <t xml:space="preserve"> = ConcatIf( ConcatRange , criteriaRange , criteria , MySep)</t>
  </si>
  <si>
    <t>Member</t>
  </si>
  <si>
    <t>Team</t>
  </si>
  <si>
    <t>Sally</t>
  </si>
  <si>
    <t>eric</t>
  </si>
  <si>
    <t xml:space="preserve">Mike </t>
  </si>
  <si>
    <t>Jessica</t>
  </si>
  <si>
    <t>Yellow</t>
  </si>
  <si>
    <t>Red</t>
  </si>
  <si>
    <t>Green</t>
  </si>
  <si>
    <t>All Members</t>
  </si>
  <si>
    <t>User Defined Function #6</t>
  </si>
  <si>
    <t>=ConcatUnique( concatRange, mySep)</t>
  </si>
  <si>
    <t>User Defined Function #8</t>
  </si>
  <si>
    <t>getth3243eNumbers2344234</t>
  </si>
  <si>
    <t>Words</t>
  </si>
  <si>
    <t>2342Get23432The3204Words</t>
  </si>
  <si>
    <t>RegExGet</t>
  </si>
  <si>
    <t>RegExPostion</t>
  </si>
  <si>
    <r>
      <t xml:space="preserve">= </t>
    </r>
    <r>
      <rPr>
        <b/>
        <sz val="11"/>
        <color theme="1"/>
        <rFont val="Calibri"/>
        <family val="2"/>
        <scheme val="minor"/>
      </rPr>
      <t>RegExget</t>
    </r>
    <r>
      <rPr>
        <sz val="11"/>
        <color theme="1"/>
        <rFont val="Calibri"/>
        <family val="2"/>
        <scheme val="minor"/>
      </rPr>
      <t>( MyString , Expression 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</si>
</sst>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5" fillId="2" borderId="0" xfId="0" applyFont="1" applyFill="1"/>
    <xf numFmtId="0" fontId="6" fillId="2" borderId="0" xfId="0" applyFont="1" applyFill="1" applyAlignment="1">
      <alignment horizontal="left" indent="4"/>
    </xf>
    <xf numFmtId="0" fontId="0" fillId="2" borderId="0" xfId="0" quotePrefix="1" applyFill="1" applyAlignment="1">
      <alignment horizontal="left" indent="4"/>
    </xf>
    <xf numFmtId="0" fontId="0" fillId="2" borderId="0" xfId="0" quotePrefix="1" applyFill="1" applyAlignment="1">
      <alignment horizontal="left" indent="3"/>
    </xf>
    <xf numFmtId="0" fontId="2" fillId="2" borderId="0" xfId="0" applyFont="1" applyFill="1"/>
    <xf numFmtId="0" fontId="0" fillId="2" borderId="2" xfId="0" applyFill="1" applyBorder="1"/>
    <xf numFmtId="0" fontId="0" fillId="2" borderId="1" xfId="0" applyFill="1" applyBorder="1"/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0</xdr:rowOff>
    </xdr:from>
    <xdr:to>
      <xdr:col>1</xdr:col>
      <xdr:colOff>210207</xdr:colOff>
      <xdr:row>3</xdr:row>
      <xdr:rowOff>103782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19707"/>
          <a:ext cx="781707" cy="780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0</xdr:rowOff>
    </xdr:from>
    <xdr:to>
      <xdr:col>1</xdr:col>
      <xdr:colOff>210207</xdr:colOff>
      <xdr:row>4</xdr:row>
      <xdr:rowOff>18057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0"/>
          <a:ext cx="780393" cy="780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0</xdr:rowOff>
    </xdr:from>
    <xdr:to>
      <xdr:col>1</xdr:col>
      <xdr:colOff>210207</xdr:colOff>
      <xdr:row>4</xdr:row>
      <xdr:rowOff>122832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0"/>
          <a:ext cx="780393" cy="884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0</xdr:rowOff>
    </xdr:from>
    <xdr:to>
      <xdr:col>1</xdr:col>
      <xdr:colOff>210207</xdr:colOff>
      <xdr:row>5</xdr:row>
      <xdr:rowOff>37107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0"/>
          <a:ext cx="780393" cy="989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67990</xdr:colOff>
      <xdr:row>0</xdr:row>
      <xdr:rowOff>9525</xdr:rowOff>
    </xdr:from>
    <xdr:to>
      <xdr:col>1</xdr:col>
      <xdr:colOff>247650</xdr:colOff>
      <xdr:row>5</xdr:row>
      <xdr:rowOff>20745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0" y="9525"/>
          <a:ext cx="789260" cy="1068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48940</xdr:colOff>
      <xdr:row>0</xdr:row>
      <xdr:rowOff>28576</xdr:rowOff>
    </xdr:from>
    <xdr:to>
      <xdr:col>1</xdr:col>
      <xdr:colOff>123826</xdr:colOff>
      <xdr:row>4</xdr:row>
      <xdr:rowOff>1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940" y="28576"/>
          <a:ext cx="684486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19707</xdr:rowOff>
    </xdr:from>
    <xdr:to>
      <xdr:col>1</xdr:col>
      <xdr:colOff>210207</xdr:colOff>
      <xdr:row>4</xdr:row>
      <xdr:rowOff>37764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19707"/>
          <a:ext cx="780393" cy="780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19707</xdr:rowOff>
    </xdr:from>
    <xdr:to>
      <xdr:col>1</xdr:col>
      <xdr:colOff>210207</xdr:colOff>
      <xdr:row>4</xdr:row>
      <xdr:rowOff>142539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19707"/>
          <a:ext cx="780393" cy="884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AF9"/>
  <sheetViews>
    <sheetView zoomScale="160" zoomScaleNormal="160" workbookViewId="0">
      <selection activeCell="C10" sqref="C10"/>
    </sheetView>
  </sheetViews>
  <sheetFormatPr defaultRowHeight="15" x14ac:dyDescent="0.25"/>
  <cols>
    <col min="1" max="1" width="9.140625" style="1"/>
    <col min="2" max="2" width="5.7109375" style="1" customWidth="1"/>
    <col min="3" max="3" width="8.42578125" style="1" customWidth="1"/>
    <col min="4" max="4" width="5.28515625" style="1" customWidth="1"/>
    <col min="5" max="5" width="8.140625" style="1" customWidth="1"/>
    <col min="6" max="16384" width="9.140625" style="1"/>
  </cols>
  <sheetData>
    <row r="2" spans="2:32" ht="23.25" x14ac:dyDescent="0.35">
      <c r="B2" s="3" t="s">
        <v>16</v>
      </c>
    </row>
    <row r="3" spans="2:32" x14ac:dyDescent="0.25">
      <c r="B3" s="5" t="s">
        <v>19</v>
      </c>
      <c r="AF3" s="1" t="s">
        <v>15</v>
      </c>
    </row>
    <row r="5" spans="2:32" x14ac:dyDescent="0.25">
      <c r="B5" s="6" t="s">
        <v>17</v>
      </c>
    </row>
    <row r="6" spans="2:32" x14ac:dyDescent="0.25">
      <c r="B6" s="1" t="s">
        <v>3</v>
      </c>
      <c r="E6" s="1" t="str">
        <f>ConcatRange(B6:B9, ", ")</f>
        <v>Matt,  Nick,  John,  Joe,</v>
      </c>
    </row>
    <row r="7" spans="2:32" x14ac:dyDescent="0.25">
      <c r="B7" s="1" t="s">
        <v>4</v>
      </c>
    </row>
    <row r="8" spans="2:32" x14ac:dyDescent="0.25">
      <c r="B8" s="1" t="s">
        <v>0</v>
      </c>
    </row>
    <row r="9" spans="2:32" x14ac:dyDescent="0.25">
      <c r="B9" s="1" t="s">
        <v>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F6"/>
  <sheetViews>
    <sheetView zoomScale="145" zoomScaleNormal="145" workbookViewId="0">
      <selection sqref="A1:XFD1048576"/>
    </sheetView>
  </sheetViews>
  <sheetFormatPr defaultRowHeight="15" x14ac:dyDescent="0.25"/>
  <cols>
    <col min="1" max="1" width="9.140625" style="1"/>
    <col min="2" max="2" width="5.7109375" style="1" customWidth="1"/>
    <col min="3" max="3" width="8.42578125" style="1" customWidth="1"/>
    <col min="4" max="4" width="5.28515625" style="1" customWidth="1"/>
    <col min="5" max="5" width="8.140625" style="1" customWidth="1"/>
    <col min="6" max="16384" width="9.140625" style="1"/>
  </cols>
  <sheetData>
    <row r="2" spans="2:32" ht="23.25" x14ac:dyDescent="0.35">
      <c r="B2" s="3" t="s">
        <v>18</v>
      </c>
    </row>
    <row r="3" spans="2:32" x14ac:dyDescent="0.25">
      <c r="B3" s="5" t="s">
        <v>21</v>
      </c>
      <c r="AF3" s="1" t="s">
        <v>15</v>
      </c>
    </row>
    <row r="5" spans="2:32" ht="15.75" thickBot="1" x14ac:dyDescent="0.3">
      <c r="B5" s="6"/>
    </row>
    <row r="6" spans="2:32" ht="15.75" thickBot="1" x14ac:dyDescent="0.3">
      <c r="B6" s="1" t="s">
        <v>20</v>
      </c>
      <c r="G6" s="7">
        <f>SearchInstance(B6,"|", 2)</f>
        <v>26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AE14"/>
  <sheetViews>
    <sheetView workbookViewId="0">
      <selection sqref="A1:XFD1048576"/>
    </sheetView>
  </sheetViews>
  <sheetFormatPr defaultRowHeight="15" x14ac:dyDescent="0.25"/>
  <cols>
    <col min="1" max="1" width="9.140625" style="1"/>
    <col min="2" max="2" width="5.7109375" style="1" customWidth="1"/>
    <col min="3" max="3" width="8.42578125" style="1" customWidth="1"/>
    <col min="4" max="4" width="8.140625" style="1" customWidth="1"/>
    <col min="5" max="16384" width="9.140625" style="1"/>
  </cols>
  <sheetData>
    <row r="2" spans="2:31" ht="23.25" x14ac:dyDescent="0.35">
      <c r="B2" s="3" t="s">
        <v>22</v>
      </c>
    </row>
    <row r="3" spans="2:31" x14ac:dyDescent="0.25">
      <c r="B3" s="5" t="s">
        <v>23</v>
      </c>
      <c r="AE3" s="1" t="s">
        <v>15</v>
      </c>
    </row>
    <row r="5" spans="2:31" ht="15.75" thickBot="1" x14ac:dyDescent="0.3">
      <c r="B5" s="6"/>
    </row>
    <row r="6" spans="2:31" ht="15.75" thickBot="1" x14ac:dyDescent="0.3">
      <c r="B6" s="1" t="s">
        <v>24</v>
      </c>
      <c r="D6" s="7" t="b">
        <f>InRange("Number",B6:B14, FALSE)</f>
        <v>1</v>
      </c>
    </row>
    <row r="7" spans="2:31" x14ac:dyDescent="0.25">
      <c r="B7" s="1" t="s">
        <v>24</v>
      </c>
    </row>
    <row r="8" spans="2:31" x14ac:dyDescent="0.25">
      <c r="B8" s="1" t="s">
        <v>24</v>
      </c>
    </row>
    <row r="9" spans="2:31" x14ac:dyDescent="0.25">
      <c r="B9" s="1" t="s">
        <v>24</v>
      </c>
    </row>
    <row r="10" spans="2:31" x14ac:dyDescent="0.25">
      <c r="B10" s="1" t="s">
        <v>25</v>
      </c>
    </row>
    <row r="11" spans="2:31" x14ac:dyDescent="0.25">
      <c r="B11" s="1" t="s">
        <v>28</v>
      </c>
    </row>
    <row r="12" spans="2:31" x14ac:dyDescent="0.25">
      <c r="B12" s="1" t="s">
        <v>26</v>
      </c>
    </row>
    <row r="13" spans="2:31" x14ac:dyDescent="0.25">
      <c r="B13" s="1" t="s">
        <v>27</v>
      </c>
    </row>
    <row r="14" spans="2:31" x14ac:dyDescent="0.25">
      <c r="B14" s="1" t="s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AE6"/>
  <sheetViews>
    <sheetView workbookViewId="0">
      <selection activeCell="J18" sqref="J18"/>
    </sheetView>
  </sheetViews>
  <sheetFormatPr defaultRowHeight="15" x14ac:dyDescent="0.25"/>
  <cols>
    <col min="1" max="1" width="9.140625" style="1"/>
    <col min="2" max="2" width="5.7109375" style="1" customWidth="1"/>
    <col min="3" max="3" width="8.42578125" style="1" customWidth="1"/>
    <col min="4" max="4" width="8.140625" style="1" customWidth="1"/>
    <col min="5" max="16384" width="9.140625" style="1"/>
  </cols>
  <sheetData>
    <row r="2" spans="2:31" ht="23.25" x14ac:dyDescent="0.35">
      <c r="B2" s="3" t="s">
        <v>30</v>
      </c>
    </row>
    <row r="3" spans="2:31" x14ac:dyDescent="0.25">
      <c r="B3" s="5" t="s">
        <v>31</v>
      </c>
      <c r="AE3" s="1" t="s">
        <v>15</v>
      </c>
    </row>
    <row r="5" spans="2:31" ht="15.75" thickBot="1" x14ac:dyDescent="0.3">
      <c r="B5" s="6"/>
    </row>
    <row r="6" spans="2:31" ht="15.75" thickBot="1" x14ac:dyDescent="0.3">
      <c r="C6" s="1" t="s">
        <v>32</v>
      </c>
      <c r="G6" s="7">
        <f>CountString(C6," ")+1</f>
        <v>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AE15"/>
  <sheetViews>
    <sheetView workbookViewId="0">
      <selection sqref="A1:XFD1048576"/>
    </sheetView>
  </sheetViews>
  <sheetFormatPr defaultRowHeight="15" x14ac:dyDescent="0.25"/>
  <cols>
    <col min="1" max="1" width="9.140625" style="1"/>
    <col min="2" max="2" width="5.7109375" style="1" customWidth="1"/>
    <col min="3" max="3" width="11.7109375" style="1" customWidth="1"/>
    <col min="4" max="4" width="11.85546875" style="1" customWidth="1"/>
    <col min="5" max="5" width="15.140625" style="1" customWidth="1"/>
    <col min="6" max="16384" width="9.140625" style="1"/>
  </cols>
  <sheetData>
    <row r="2" spans="2:31" ht="23.25" x14ac:dyDescent="0.35">
      <c r="B2" s="3" t="s">
        <v>33</v>
      </c>
    </row>
    <row r="3" spans="2:31" x14ac:dyDescent="0.25">
      <c r="B3" s="5" t="s">
        <v>34</v>
      </c>
      <c r="AE3" s="1" t="s">
        <v>15</v>
      </c>
    </row>
    <row r="5" spans="2:31" x14ac:dyDescent="0.25">
      <c r="B5" s="6"/>
    </row>
    <row r="6" spans="2:31" x14ac:dyDescent="0.25">
      <c r="C6" s="8" t="s">
        <v>35</v>
      </c>
      <c r="D6" s="8" t="s">
        <v>36</v>
      </c>
      <c r="E6" s="8" t="s">
        <v>44</v>
      </c>
    </row>
    <row r="7" spans="2:31" x14ac:dyDescent="0.25">
      <c r="C7" s="1" t="s">
        <v>1</v>
      </c>
      <c r="D7" s="1" t="s">
        <v>41</v>
      </c>
      <c r="E7" s="1" t="str">
        <f>concatif($C$7:$C$15,$D$7:$D$15,D7,", ")</f>
        <v>Alex, Sally, Daren</v>
      </c>
    </row>
    <row r="8" spans="2:31" x14ac:dyDescent="0.25">
      <c r="C8" s="1" t="s">
        <v>5</v>
      </c>
      <c r="D8" s="1" t="s">
        <v>42</v>
      </c>
      <c r="E8" s="1" t="str">
        <f t="shared" ref="E8:E15" si="0">concatif($C$7:$C$15,$D$7:$D$15,D8,", ")</f>
        <v xml:space="preserve">Joe, eric, Mike </v>
      </c>
    </row>
    <row r="9" spans="2:31" x14ac:dyDescent="0.25">
      <c r="C9" s="1" t="s">
        <v>0</v>
      </c>
      <c r="D9" s="1" t="s">
        <v>43</v>
      </c>
      <c r="E9" s="1" t="str">
        <f t="shared" si="0"/>
        <v>John, Matt, Jessica</v>
      </c>
    </row>
    <row r="10" spans="2:31" x14ac:dyDescent="0.25">
      <c r="C10" s="1" t="s">
        <v>37</v>
      </c>
      <c r="D10" s="1" t="s">
        <v>41</v>
      </c>
      <c r="E10" s="1" t="str">
        <f t="shared" si="0"/>
        <v>Alex, Sally, Daren</v>
      </c>
    </row>
    <row r="11" spans="2:31" x14ac:dyDescent="0.25">
      <c r="C11" s="1" t="s">
        <v>38</v>
      </c>
      <c r="D11" s="1" t="s">
        <v>42</v>
      </c>
      <c r="E11" s="1" t="str">
        <f t="shared" si="0"/>
        <v xml:space="preserve">Joe, eric, Mike </v>
      </c>
    </row>
    <row r="12" spans="2:31" x14ac:dyDescent="0.25">
      <c r="C12" s="1" t="s">
        <v>3</v>
      </c>
      <c r="D12" s="1" t="s">
        <v>43</v>
      </c>
      <c r="E12" s="1" t="str">
        <f t="shared" si="0"/>
        <v>John, Matt, Jessica</v>
      </c>
    </row>
    <row r="13" spans="2:31" x14ac:dyDescent="0.25">
      <c r="C13" s="1" t="s">
        <v>39</v>
      </c>
      <c r="D13" s="1" t="s">
        <v>42</v>
      </c>
      <c r="E13" s="1" t="str">
        <f t="shared" si="0"/>
        <v xml:space="preserve">Joe, eric, Mike </v>
      </c>
    </row>
    <row r="14" spans="2:31" x14ac:dyDescent="0.25">
      <c r="C14" s="1" t="s">
        <v>40</v>
      </c>
      <c r="D14" s="1" t="s">
        <v>43</v>
      </c>
      <c r="E14" s="1" t="str">
        <f t="shared" si="0"/>
        <v>John, Matt, Jessica</v>
      </c>
    </row>
    <row r="15" spans="2:31" x14ac:dyDescent="0.25">
      <c r="C15" s="1" t="s">
        <v>2</v>
      </c>
      <c r="D15" s="1" t="s">
        <v>41</v>
      </c>
      <c r="E15" s="1" t="str">
        <f t="shared" si="0"/>
        <v>Alex, Sally, Daren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AE15"/>
  <sheetViews>
    <sheetView workbookViewId="0">
      <selection activeCell="D8" sqref="D8"/>
    </sheetView>
  </sheetViews>
  <sheetFormatPr defaultRowHeight="15" x14ac:dyDescent="0.25"/>
  <cols>
    <col min="1" max="1" width="9.140625" style="1"/>
    <col min="2" max="2" width="5.7109375" style="1" customWidth="1"/>
    <col min="3" max="3" width="11.7109375" style="1" customWidth="1"/>
    <col min="4" max="4" width="11.85546875" style="1" customWidth="1"/>
    <col min="5" max="5" width="15.140625" style="1" customWidth="1"/>
    <col min="6" max="16384" width="9.140625" style="1"/>
  </cols>
  <sheetData>
    <row r="2" spans="2:31" ht="23.25" x14ac:dyDescent="0.35">
      <c r="B2" s="3" t="s">
        <v>45</v>
      </c>
    </row>
    <row r="3" spans="2:31" x14ac:dyDescent="0.25">
      <c r="B3" s="5" t="s">
        <v>46</v>
      </c>
      <c r="AE3" s="1" t="s">
        <v>15</v>
      </c>
    </row>
    <row r="5" spans="2:31" x14ac:dyDescent="0.25">
      <c r="B5" s="6"/>
    </row>
    <row r="6" spans="2:31" x14ac:dyDescent="0.25">
      <c r="C6" s="8" t="s">
        <v>35</v>
      </c>
    </row>
    <row r="7" spans="2:31" x14ac:dyDescent="0.25">
      <c r="C7" s="1" t="s">
        <v>1</v>
      </c>
      <c r="D7" s="1" t="str">
        <f>ConcatUnique(C7:C15, ", ")</f>
        <v>Alex, Joe, John, eric, Mike , Jessica, Daren</v>
      </c>
    </row>
    <row r="8" spans="2:31" x14ac:dyDescent="0.25">
      <c r="C8" s="1" t="s">
        <v>5</v>
      </c>
    </row>
    <row r="9" spans="2:31" x14ac:dyDescent="0.25">
      <c r="C9" s="1" t="s">
        <v>0</v>
      </c>
    </row>
    <row r="10" spans="2:31" x14ac:dyDescent="0.25">
      <c r="C10" s="1" t="s">
        <v>5</v>
      </c>
    </row>
    <row r="11" spans="2:31" x14ac:dyDescent="0.25">
      <c r="C11" s="1" t="s">
        <v>38</v>
      </c>
    </row>
    <row r="12" spans="2:31" x14ac:dyDescent="0.25">
      <c r="C12" s="1" t="s">
        <v>1</v>
      </c>
    </row>
    <row r="13" spans="2:31" x14ac:dyDescent="0.25">
      <c r="C13" s="1" t="s">
        <v>39</v>
      </c>
    </row>
    <row r="14" spans="2:31" x14ac:dyDescent="0.25">
      <c r="C14" s="1" t="s">
        <v>40</v>
      </c>
    </row>
    <row r="15" spans="2:31" x14ac:dyDescent="0.25">
      <c r="C15" s="1" t="s">
        <v>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1"/>
  <sheetViews>
    <sheetView workbookViewId="0">
      <selection sqref="A1:XFD1048576"/>
    </sheetView>
  </sheetViews>
  <sheetFormatPr defaultRowHeight="15" x14ac:dyDescent="0.25"/>
  <cols>
    <col min="1" max="1" width="9.140625" style="1"/>
    <col min="2" max="2" width="39.5703125" style="1" customWidth="1"/>
    <col min="3" max="3" width="8.42578125" style="1" customWidth="1"/>
    <col min="4" max="4" width="5.28515625" style="1" customWidth="1"/>
    <col min="5" max="5" width="8.140625" style="1" customWidth="1"/>
    <col min="6" max="16384" width="9.140625" style="1"/>
  </cols>
  <sheetData>
    <row r="1" spans="1:4" x14ac:dyDescent="0.25">
      <c r="A1"/>
    </row>
    <row r="2" spans="1:4" ht="23.25" x14ac:dyDescent="0.35">
      <c r="B2" s="3" t="s">
        <v>12</v>
      </c>
    </row>
    <row r="3" spans="1:4" x14ac:dyDescent="0.25">
      <c r="B3" s="5" t="s">
        <v>10</v>
      </c>
    </row>
    <row r="5" spans="1:4" x14ac:dyDescent="0.25">
      <c r="B5" s="2" t="s">
        <v>6</v>
      </c>
      <c r="D5" s="4"/>
    </row>
    <row r="6" spans="1:4" x14ac:dyDescent="0.25">
      <c r="B6" s="1" t="s">
        <v>7</v>
      </c>
      <c r="C6" s="1" t="str">
        <f t="array" ref="C6">SplitUp(B6,", ")</f>
        <v>John</v>
      </c>
    </row>
    <row r="7" spans="1:4" x14ac:dyDescent="0.25">
      <c r="B7" s="1" t="s">
        <v>8</v>
      </c>
    </row>
    <row r="8" spans="1:4" x14ac:dyDescent="0.25">
      <c r="B8" s="1" t="s">
        <v>9</v>
      </c>
      <c r="C8" s="1" t="str">
        <f t="array" ref="C8">SplitUp(B9)</f>
        <v>T</v>
      </c>
    </row>
    <row r="9" spans="1:4" x14ac:dyDescent="0.25">
      <c r="B9" s="1" t="s">
        <v>13</v>
      </c>
    </row>
    <row r="10" spans="1:4" x14ac:dyDescent="0.25">
      <c r="B10" s="1" t="s">
        <v>11</v>
      </c>
    </row>
    <row r="11" spans="1:4" x14ac:dyDescent="0.25">
      <c r="B11" s="1" t="s">
        <v>14</v>
      </c>
      <c r="C11" s="1">
        <f t="array" ref="C11">MAX(--(SplitUp(B11, ",")))</f>
        <v>6.5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8"/>
  <sheetViews>
    <sheetView tabSelected="1" workbookViewId="0">
      <selection activeCell="B16" sqref="B16"/>
    </sheetView>
  </sheetViews>
  <sheetFormatPr defaultRowHeight="15" x14ac:dyDescent="0.25"/>
  <cols>
    <col min="1" max="1" width="9.140625" style="1"/>
    <col min="2" max="2" width="30.140625" style="1" customWidth="1"/>
    <col min="3" max="3" width="13.28515625" style="1" customWidth="1"/>
    <col min="4" max="4" width="14" style="1" customWidth="1"/>
    <col min="5" max="5" width="8.140625" style="1" customWidth="1"/>
    <col min="6" max="16384" width="9.140625" style="1"/>
  </cols>
  <sheetData>
    <row r="1" spans="1:4" x14ac:dyDescent="0.25">
      <c r="A1"/>
    </row>
    <row r="2" spans="1:4" ht="23.25" x14ac:dyDescent="0.35">
      <c r="B2" s="3" t="s">
        <v>47</v>
      </c>
    </row>
    <row r="3" spans="1:4" x14ac:dyDescent="0.25">
      <c r="B3" s="5" t="s">
        <v>53</v>
      </c>
    </row>
    <row r="5" spans="1:4" x14ac:dyDescent="0.25">
      <c r="B5" s="9" t="s">
        <v>49</v>
      </c>
      <c r="C5" s="9" t="s">
        <v>51</v>
      </c>
      <c r="D5" s="9" t="s">
        <v>52</v>
      </c>
    </row>
    <row r="6" spans="1:4" x14ac:dyDescent="0.25">
      <c r="B6" s="1" t="s">
        <v>48</v>
      </c>
      <c r="C6" s="10" t="str">
        <f t="array" ref="C6">RegExGet(B6, "\d+")</f>
        <v>3243</v>
      </c>
      <c r="D6" s="10">
        <f>RegExPosition(B6, "\d+")</f>
        <v>6</v>
      </c>
    </row>
    <row r="7" spans="1:4" x14ac:dyDescent="0.25">
      <c r="B7" s="1" t="s">
        <v>50</v>
      </c>
      <c r="C7" s="10" t="str">
        <f>RegExGet(B7, "[a-z]+")</f>
        <v>Get</v>
      </c>
      <c r="D7" s="10">
        <f>RegExPosition(B7, "[a-z]+")</f>
        <v>5</v>
      </c>
    </row>
    <row r="8" spans="1:4" x14ac:dyDescent="0.25">
      <c r="C8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UDF1</vt:lpstr>
      <vt:lpstr>UDF2</vt:lpstr>
      <vt:lpstr>UDF3</vt:lpstr>
      <vt:lpstr>UDF4</vt:lpstr>
      <vt:lpstr>UDF5</vt:lpstr>
      <vt:lpstr>UDF6</vt:lpstr>
      <vt:lpstr>UDF7</vt:lpstr>
      <vt:lpstr>UDF8</vt:lpstr>
    </vt:vector>
  </TitlesOfParts>
  <Company>Dow Jones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 Jones User</dc:creator>
  <cp:lastModifiedBy>Matt</cp:lastModifiedBy>
  <cp:lastPrinted>2013-12-11T09:27:50Z</cp:lastPrinted>
  <dcterms:created xsi:type="dcterms:W3CDTF">2013-02-08T20:39:31Z</dcterms:created>
  <dcterms:modified xsi:type="dcterms:W3CDTF">2013-12-19T09:42:04Z</dcterms:modified>
</cp:coreProperties>
</file>